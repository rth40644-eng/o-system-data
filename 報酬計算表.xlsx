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趣味\中川　自宅用\シナリオ集用オリジナルシステム\o-systmeファンタジー\ヴァルドリア大陸ガイド\"/>
    </mc:Choice>
  </mc:AlternateContent>
  <xr:revisionPtr revIDLastSave="0" documentId="13_ncr:1_{D91FAC55-E400-4365-BCC5-55DDB857967C}" xr6:coauthVersionLast="47" xr6:coauthVersionMax="47" xr10:uidLastSave="{00000000-0000-0000-0000-000000000000}"/>
  <bookViews>
    <workbookView xWindow="345" yWindow="180" windowWidth="13725" windowHeight="14460" xr2:uid="{819365C5-BFDD-462D-A454-26234D9AFE0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2" l="1"/>
  <c r="E3" i="2"/>
  <c r="C3" i="2"/>
  <c r="I3" i="2"/>
  <c r="J3" i="2"/>
  <c r="K3" i="2" l="1"/>
</calcChain>
</file>

<file path=xl/sharedStrings.xml><?xml version="1.0" encoding="utf-8"?>
<sst xmlns="http://schemas.openxmlformats.org/spreadsheetml/2006/main" count="28" uniqueCount="27">
  <si>
    <t>特技総数</t>
    <rPh sb="0" eb="2">
      <t>トクギ</t>
    </rPh>
    <rPh sb="2" eb="4">
      <t>ソウスウ</t>
    </rPh>
    <phoneticPr fontId="1"/>
  </si>
  <si>
    <t>技能係数</t>
    <rPh sb="0" eb="4">
      <t>ギノウケイスウ</t>
    </rPh>
    <phoneticPr fontId="1"/>
  </si>
  <si>
    <t>依頼ランク</t>
    <rPh sb="0" eb="2">
      <t>イライ</t>
    </rPh>
    <phoneticPr fontId="1"/>
  </si>
  <si>
    <t>基本報酬</t>
    <rPh sb="0" eb="4">
      <t>キホンホウシュウ</t>
    </rPh>
    <phoneticPr fontId="1"/>
  </si>
  <si>
    <t>初級特技数</t>
    <rPh sb="0" eb="4">
      <t>ショキュウトクギ</t>
    </rPh>
    <rPh sb="4" eb="5">
      <t>スウ</t>
    </rPh>
    <phoneticPr fontId="1"/>
  </si>
  <si>
    <t>熟練特技数</t>
    <rPh sb="0" eb="5">
      <t>ジュクレントクギスウ</t>
    </rPh>
    <phoneticPr fontId="1"/>
  </si>
  <si>
    <t>達人特技数</t>
    <rPh sb="0" eb="5">
      <t>タツジントクギスウ</t>
    </rPh>
    <phoneticPr fontId="1"/>
  </si>
  <si>
    <t>最終報酬額</t>
    <rPh sb="0" eb="5">
      <t>サイシュウホウシュウガク</t>
    </rPh>
    <phoneticPr fontId="1"/>
  </si>
  <si>
    <t>報酬決定表</t>
    <rPh sb="0" eb="5">
      <t>ホウシュウケッテイヒョウ</t>
    </rPh>
    <phoneticPr fontId="1"/>
  </si>
  <si>
    <t>シナリオ１</t>
    <phoneticPr fontId="1"/>
  </si>
  <si>
    <t>f</t>
    <phoneticPr fontId="1"/>
  </si>
  <si>
    <t>F</t>
  </si>
  <si>
    <t>e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</si>
  <si>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</si>
  <si>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</si>
  <si>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</si>
  <si>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</si>
  <si>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市民</t>
    <rPh sb="0" eb="2">
      <t>シミン</t>
    </rPh>
    <phoneticPr fontId="1"/>
  </si>
  <si>
    <t>商人・商会</t>
    <rPh sb="0" eb="2">
      <t>ショウニン</t>
    </rPh>
    <rPh sb="3" eb="5">
      <t>ショウカイ</t>
    </rPh>
    <phoneticPr fontId="1"/>
  </si>
  <si>
    <t>貴族・領主</t>
    <rPh sb="0" eb="2">
      <t>キゾク</t>
    </rPh>
    <rPh sb="3" eb="5">
      <t>リョウシュ</t>
    </rPh>
    <phoneticPr fontId="1"/>
  </si>
  <si>
    <t>教会</t>
    <rPh sb="0" eb="2">
      <t>キョウカイ</t>
    </rPh>
    <phoneticPr fontId="1"/>
  </si>
  <si>
    <t>軍・王国</t>
    <rPh sb="0" eb="1">
      <t>グン</t>
    </rPh>
    <rPh sb="2" eb="4">
      <t>オウコク</t>
    </rPh>
    <phoneticPr fontId="1"/>
  </si>
  <si>
    <t>ギルド本部</t>
    <rPh sb="3" eb="5">
      <t>ホンブ</t>
    </rPh>
    <phoneticPr fontId="1"/>
  </si>
  <si>
    <t>依頼主</t>
    <rPh sb="0" eb="3">
      <t>イライヌシ</t>
    </rPh>
    <phoneticPr fontId="1"/>
  </si>
  <si>
    <t>支払い能力係数</t>
    <phoneticPr fontId="1"/>
  </si>
  <si>
    <t>パーティ人数</t>
    <rPh sb="4" eb="6">
      <t>ニンズウ</t>
    </rPh>
    <phoneticPr fontId="1"/>
  </si>
  <si>
    <t>一人当たりの報酬</t>
    <rPh sb="0" eb="3">
      <t>ヒトリア</t>
    </rPh>
    <rPh sb="6" eb="8">
      <t>ホウシュウ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</si>
</sst>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4"/>
      <color theme="1"/>
      <name val="HGP創英角ｺﾞｼｯｸUB"/>
      <family val="3"/>
      <charset val="128"/>
    </font>
    <font>
      <sz val="12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0" borderId="3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C2CE-9361-4F77-BB49-5768735CBEB3}">
  <dimension ref="A1:K24"/>
  <sheetViews>
    <sheetView tabSelected="1" topLeftCell="E1" zoomScale="90" zoomScaleNormal="90" workbookViewId="0">
      <selection activeCell="K14" sqref="K14"/>
    </sheetView>
  </sheetViews>
  <sheetFormatPr defaultRowHeight="18.75" x14ac:dyDescent="0.4"/>
  <cols>
    <col min="1" max="1" width="18.75" customWidth="1"/>
    <col min="2" max="2" width="15" customWidth="1"/>
    <col min="3" max="4" width="15.125" customWidth="1"/>
    <col min="5" max="5" width="25" customWidth="1"/>
    <col min="6" max="10" width="15" customWidth="1"/>
    <col min="11" max="11" width="17.125" customWidth="1"/>
  </cols>
  <sheetData>
    <row r="1" spans="1:11" ht="29.25" thickBot="1" x14ac:dyDescent="0.45">
      <c r="A1" s="1" t="s">
        <v>8</v>
      </c>
    </row>
    <row r="2" spans="1:11" ht="20.25" thickTop="1" x14ac:dyDescent="0.4">
      <c r="A2" s="2"/>
      <c r="B2" s="4" t="s">
        <v>2</v>
      </c>
      <c r="C2" s="4" t="s">
        <v>3</v>
      </c>
      <c r="D2" s="4" t="s">
        <v>23</v>
      </c>
      <c r="E2" s="4" t="s">
        <v>24</v>
      </c>
      <c r="F2" s="4" t="s">
        <v>4</v>
      </c>
      <c r="G2" s="4" t="s">
        <v>5</v>
      </c>
      <c r="H2" s="4" t="s">
        <v>6</v>
      </c>
      <c r="I2" s="4" t="s">
        <v>0</v>
      </c>
      <c r="J2" s="4" t="s">
        <v>1</v>
      </c>
      <c r="K2" s="5" t="s">
        <v>7</v>
      </c>
    </row>
    <row r="3" spans="1:11" ht="20.25" thickBot="1" x14ac:dyDescent="0.45">
      <c r="A3" s="3" t="s">
        <v>9</v>
      </c>
      <c r="B3" s="6" t="s">
        <v>11</v>
      </c>
      <c r="C3" s="6">
        <f>_xlfn.XLOOKUP(B3,$A$10:$A$15,$B$10:$B$15)</f>
        <v>1</v>
      </c>
      <c r="D3" s="6" t="s">
        <v>17</v>
      </c>
      <c r="E3" s="6">
        <f>_xlfn.XLOOKUP(D3, $E$10:$E$15, $F$10:$F$15)</f>
        <v>1</v>
      </c>
      <c r="F3" s="6">
        <v>0</v>
      </c>
      <c r="G3" s="6">
        <v>0</v>
      </c>
      <c r="H3" s="6">
        <v>0</v>
      </c>
      <c r="I3" s="6">
        <f>F3 + G3 + H3</f>
        <v>0</v>
      </c>
      <c r="J3" s="6">
        <f>1</f>
        <v>1</v>
      </c>
      <c r="K3" s="7">
        <f>C3 * J3 * E3</f>
        <v>1</v>
      </c>
    </row>
    <row r="4" spans="1:11" ht="20.25" thickTop="1" x14ac:dyDescent="0.4">
      <c r="A4" s="8"/>
      <c r="B4" s="8"/>
      <c r="C4" s="8"/>
      <c r="D4" s="8"/>
      <c r="E4" s="8"/>
      <c r="F4" s="8"/>
      <c r="G4" s="8"/>
      <c r="H4" s="8"/>
      <c r="I4" s="8"/>
      <c r="J4" s="2" t="s">
        <v>25</v>
      </c>
      <c r="K4" s="10" t="s">
        <v>26</v>
      </c>
    </row>
    <row r="5" spans="1:11" ht="20.25" thickBot="1" x14ac:dyDescent="0.45">
      <c r="A5" s="8"/>
      <c r="B5" s="8"/>
      <c r="C5" s="8"/>
      <c r="D5" s="8"/>
      <c r="E5" s="8"/>
      <c r="F5" s="8"/>
      <c r="G5" s="8"/>
      <c r="H5" s="8"/>
      <c r="I5" s="8"/>
      <c r="J5" s="3">
        <v>1</v>
      </c>
      <c r="K5" s="7">
        <f>IF(J5=0,"",K3/J5)</f>
        <v>1</v>
      </c>
    </row>
    <row r="6" spans="1:11" ht="20.25" thickTop="1" x14ac:dyDescent="0.4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9.5" x14ac:dyDescent="0.4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9.5" x14ac:dyDescent="0.4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9.5" x14ac:dyDescent="0.4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9.5" x14ac:dyDescent="0.4">
      <c r="A10" s="8" t="s">
        <v>10</v>
      </c>
      <c r="B10" s="8">
        <v>1</v>
      </c>
      <c r="C10" s="8"/>
      <c r="D10" s="8"/>
      <c r="E10" s="8" t="s">
        <v>17</v>
      </c>
      <c r="F10" s="8">
        <v>1</v>
      </c>
      <c r="G10" s="8"/>
      <c r="H10" s="8"/>
      <c r="I10" s="8"/>
      <c r="J10" s="8"/>
      <c r="K10" s="8"/>
    </row>
    <row r="11" spans="1:11" ht="19.5" x14ac:dyDescent="0.4">
      <c r="A11" s="8" t="s">
        <v>12</v>
      </c>
      <c r="B11" s="8">
        <v>3</v>
      </c>
      <c r="C11" s="8"/>
      <c r="D11" s="8"/>
      <c r="E11" s="8" t="s">
        <v>18</v>
      </c>
      <c r="F11" s="8">
        <v>2</v>
      </c>
      <c r="G11" s="8"/>
      <c r="H11" s="8"/>
      <c r="I11" s="8"/>
      <c r="J11" s="8"/>
      <c r="K11" s="8"/>
    </row>
    <row r="12" spans="1:11" ht="19.5" x14ac:dyDescent="0.4">
      <c r="A12" s="8" t="s">
        <v>13</v>
      </c>
      <c r="B12" s="8">
        <v>7</v>
      </c>
      <c r="C12" s="8"/>
      <c r="D12" s="8"/>
      <c r="E12" s="8" t="s">
        <v>19</v>
      </c>
      <c r="F12" s="8">
        <v>3</v>
      </c>
      <c r="G12" s="8"/>
      <c r="H12" s="8"/>
      <c r="I12" s="8"/>
      <c r="J12" s="8"/>
      <c r="K12" s="8"/>
    </row>
    <row r="13" spans="1:11" ht="19.5" x14ac:dyDescent="0.4">
      <c r="A13" s="8" t="s">
        <v>14</v>
      </c>
      <c r="B13" s="8">
        <v>16</v>
      </c>
      <c r="C13" s="8"/>
      <c r="D13" s="8"/>
      <c r="E13" s="8" t="s">
        <v>20</v>
      </c>
      <c r="F13" s="8">
        <v>3</v>
      </c>
      <c r="G13" s="8"/>
      <c r="H13" s="8"/>
      <c r="I13" s="8"/>
      <c r="J13" s="8"/>
      <c r="K13" s="8"/>
    </row>
    <row r="14" spans="1:11" ht="19.5" x14ac:dyDescent="0.4">
      <c r="A14" s="8" t="s">
        <v>15</v>
      </c>
      <c r="B14" s="8">
        <v>31</v>
      </c>
      <c r="C14" s="8"/>
      <c r="D14" s="8"/>
      <c r="E14" s="8" t="s">
        <v>21</v>
      </c>
      <c r="F14" s="8">
        <v>4</v>
      </c>
      <c r="G14" s="8"/>
      <c r="H14" s="8"/>
      <c r="I14" s="8"/>
      <c r="J14" s="8"/>
      <c r="K14" s="8"/>
    </row>
    <row r="15" spans="1:11" ht="19.5" x14ac:dyDescent="0.4">
      <c r="A15" s="8" t="s">
        <v>16</v>
      </c>
      <c r="B15" s="8">
        <v>80</v>
      </c>
      <c r="C15" s="8"/>
      <c r="D15" s="8"/>
      <c r="E15" s="8" t="s">
        <v>22</v>
      </c>
      <c r="F15" s="8">
        <v>5</v>
      </c>
      <c r="G15" s="8"/>
      <c r="H15" s="8"/>
      <c r="I15" s="8"/>
      <c r="J15" s="8"/>
      <c r="K15" s="8"/>
    </row>
    <row r="16" spans="1:11" ht="19.5" x14ac:dyDescent="0.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19.5" x14ac:dyDescent="0.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ht="19.5" x14ac:dyDescent="0.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19.5" x14ac:dyDescent="0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ht="19.5" x14ac:dyDescent="0.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19.5" x14ac:dyDescent="0.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t="19.5" x14ac:dyDescent="0.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19.5" x14ac:dyDescent="0.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t="19.5" x14ac:dyDescent="0.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</row>
  </sheetData>
  <phoneticPr fontId="1"/>
  <dataValidations count="2">
    <dataValidation type="list" allowBlank="1" showInputMessage="1" showErrorMessage="1" sqref="B3" xr:uid="{90367538-FBBE-4FEF-9A6A-B2ECC75C55A8}">
      <formula1>"F,E,D,C,B,A"</formula1>
    </dataValidation>
    <dataValidation type="list" allowBlank="1" showInputMessage="1" showErrorMessage="1" sqref="D3" xr:uid="{087F3295-7733-4E47-A12F-CEB1DA67FBDB}">
      <formula1>$E$10:$E$15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みどり 中川</dc:creator>
  <cp:lastModifiedBy>みどり 中川</cp:lastModifiedBy>
  <dcterms:created xsi:type="dcterms:W3CDTF">2026-09-16T23:43:24Z</dcterms:created>
  <dcterms:modified xsi:type="dcterms:W3CDTF">2026-09-18T07:11:59Z</dcterms:modified>
</cp:coreProperties>
</file>